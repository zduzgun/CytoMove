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CELLVERSE_PROJECT\CYTOMOVE\validation_sets\comparator_clean\results\whst\whad_mcf7_11\"/>
    </mc:Choice>
  </mc:AlternateContent>
  <xr:revisionPtr revIDLastSave="0" documentId="13_ncr:1_{160FEF0F-E4F6-45DC-84B5-3AE8CD75AABE}" xr6:coauthVersionLast="47" xr6:coauthVersionMax="47" xr10:uidLastSave="{00000000-0000-0000-0000-000000000000}"/>
  <bookViews>
    <workbookView xWindow="-120" yWindow="-120" windowWidth="29040" windowHeight="15840" xr2:uid="{CAA27CB4-F2A5-493C-8684-BA229809F714}"/>
  </bookViews>
  <sheets>
    <sheet name="whs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4" i="1"/>
  <c r="G25" i="1"/>
  <c r="G26" i="1"/>
  <c r="G27" i="1"/>
  <c r="G28" i="1"/>
  <c r="G29" i="1"/>
  <c r="G30" i="1"/>
  <c r="G31" i="1"/>
  <c r="G21" i="1"/>
  <c r="D22" i="1"/>
  <c r="D23" i="1"/>
  <c r="D24" i="1"/>
  <c r="D25" i="1"/>
  <c r="D26" i="1"/>
  <c r="D27" i="1"/>
  <c r="D28" i="1"/>
  <c r="D29" i="1"/>
  <c r="D30" i="1"/>
  <c r="D31" i="1"/>
  <c r="D21" i="1"/>
  <c r="F22" i="1"/>
  <c r="F23" i="1"/>
  <c r="F24" i="1"/>
  <c r="F25" i="1"/>
  <c r="F26" i="1"/>
  <c r="F27" i="1"/>
  <c r="F28" i="1"/>
  <c r="F29" i="1"/>
  <c r="F30" i="1"/>
  <c r="F31" i="1"/>
  <c r="F21" i="1"/>
  <c r="C22" i="1"/>
  <c r="C23" i="1"/>
  <c r="C24" i="1"/>
  <c r="C25" i="1"/>
  <c r="C26" i="1"/>
  <c r="C27" i="1"/>
  <c r="C28" i="1"/>
  <c r="C29" i="1"/>
  <c r="C30" i="1"/>
  <c r="C31" i="1"/>
  <c r="C21" i="1"/>
</calcChain>
</file>

<file path=xl/sharedStrings.xml><?xml version="1.0" encoding="utf-8"?>
<sst xmlns="http://schemas.openxmlformats.org/spreadsheetml/2006/main" count="37" uniqueCount="26">
  <si>
    <t>Label</t>
  </si>
  <si>
    <t>Area pixels^2</t>
  </si>
  <si>
    <t>Area %</t>
  </si>
  <si>
    <t>Width pixels</t>
  </si>
  <si>
    <t>Standard deviation pixels</t>
  </si>
  <si>
    <t>whad_mcf7_001.png</t>
  </si>
  <si>
    <t>whad_mcf7_005.png</t>
  </si>
  <si>
    <t>whad_mcf7_009.png</t>
  </si>
  <si>
    <t>whad_mcf7_013.png</t>
  </si>
  <si>
    <t>whad_mcf7_017.png</t>
  </si>
  <si>
    <t>whad_mcf7_021.png</t>
  </si>
  <si>
    <t>whad_mcf7_026.png</t>
  </si>
  <si>
    <t>whad_mcf7_031.png</t>
  </si>
  <si>
    <t>whad_mcf7_036.png</t>
  </si>
  <si>
    <t>whad_mcf7_041.png</t>
  </si>
  <si>
    <t>whad_mcf7_046.png</t>
  </si>
  <si>
    <t>No</t>
  </si>
  <si>
    <t>wound_area_px</t>
  </si>
  <si>
    <t>wound_area_fraction_percent</t>
  </si>
  <si>
    <t>mean_wound_width_px</t>
  </si>
  <si>
    <t>whst</t>
  </si>
  <si>
    <t>cytomove</t>
  </si>
  <si>
    <t>area</t>
  </si>
  <si>
    <t>with</t>
  </si>
  <si>
    <t>WHST RESULTS</t>
  </si>
  <si>
    <t>CYTOMOVE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</si>
</sst>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whst_Results!$C$20</c:f>
              <c:strCache>
                <c:ptCount val="1"/>
                <c:pt idx="0">
                  <c:v>whst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whst_Results!$C$21:$C$31</c:f>
              <c:numCache>
                <c:formatCode>General</c:formatCode>
                <c:ptCount val="11"/>
                <c:pt idx="0">
                  <c:v>959599</c:v>
                </c:pt>
                <c:pt idx="1">
                  <c:v>824518</c:v>
                </c:pt>
                <c:pt idx="2">
                  <c:v>625120</c:v>
                </c:pt>
                <c:pt idx="3">
                  <c:v>428949</c:v>
                </c:pt>
                <c:pt idx="4">
                  <c:v>304258</c:v>
                </c:pt>
                <c:pt idx="5">
                  <c:v>211788</c:v>
                </c:pt>
                <c:pt idx="6">
                  <c:v>122812</c:v>
                </c:pt>
                <c:pt idx="7">
                  <c:v>62572</c:v>
                </c:pt>
                <c:pt idx="8">
                  <c:v>19667</c:v>
                </c:pt>
                <c:pt idx="9">
                  <c:v>10700</c:v>
                </c:pt>
                <c:pt idx="10">
                  <c:v>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0-4D7A-82AD-81E97FF6B7F8}"/>
            </c:ext>
          </c:extLst>
        </c:ser>
        <c:ser>
          <c:idx val="1"/>
          <c:order val="1"/>
          <c:tx>
            <c:strRef>
              <c:f>whst_Results!$D$20</c:f>
              <c:strCache>
                <c:ptCount val="1"/>
                <c:pt idx="0">
                  <c:v>cytomove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whst_Results!$D$21:$D$31</c:f>
              <c:numCache>
                <c:formatCode>General</c:formatCode>
                <c:ptCount val="11"/>
                <c:pt idx="0">
                  <c:v>936869</c:v>
                </c:pt>
                <c:pt idx="1">
                  <c:v>764448</c:v>
                </c:pt>
                <c:pt idx="2">
                  <c:v>566338</c:v>
                </c:pt>
                <c:pt idx="3">
                  <c:v>389997</c:v>
                </c:pt>
                <c:pt idx="4">
                  <c:v>278493</c:v>
                </c:pt>
                <c:pt idx="5">
                  <c:v>204055</c:v>
                </c:pt>
                <c:pt idx="6">
                  <c:v>128011</c:v>
                </c:pt>
                <c:pt idx="7">
                  <c:v>65453</c:v>
                </c:pt>
                <c:pt idx="8">
                  <c:v>21635</c:v>
                </c:pt>
                <c:pt idx="9">
                  <c:v>11618</c:v>
                </c:pt>
                <c:pt idx="10">
                  <c:v>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60-4D7A-82AD-81E97FF6B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1096496"/>
        <c:axId val="1951097456"/>
      </c:lineChart>
      <c:catAx>
        <c:axId val="195109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51097456"/>
        <c:crosses val="autoZero"/>
        <c:auto val="1"/>
        <c:lblAlgn val="ctr"/>
        <c:lblOffset val="100"/>
        <c:noMultiLvlLbl val="0"/>
      </c:catAx>
      <c:valAx>
        <c:axId val="195109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5109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whst_Results!$F$20</c:f>
              <c:strCache>
                <c:ptCount val="1"/>
                <c:pt idx="0">
                  <c:v>whst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whst_Results!$F$21:$F$31</c:f>
              <c:numCache>
                <c:formatCode>General</c:formatCode>
                <c:ptCount val="11"/>
                <c:pt idx="0">
                  <c:v>671.70799999999997</c:v>
                </c:pt>
                <c:pt idx="1">
                  <c:v>572.87400000000002</c:v>
                </c:pt>
                <c:pt idx="2">
                  <c:v>438.899</c:v>
                </c:pt>
                <c:pt idx="3">
                  <c:v>303.59800000000001</c:v>
                </c:pt>
                <c:pt idx="4">
                  <c:v>222.285</c:v>
                </c:pt>
                <c:pt idx="5">
                  <c:v>159.34800000000001</c:v>
                </c:pt>
                <c:pt idx="6">
                  <c:v>137.93700000000001</c:v>
                </c:pt>
                <c:pt idx="7">
                  <c:v>108.139</c:v>
                </c:pt>
                <c:pt idx="8">
                  <c:v>26.263999999999999</c:v>
                </c:pt>
                <c:pt idx="9">
                  <c:v>40.576000000000001</c:v>
                </c:pt>
                <c:pt idx="10">
                  <c:v>15.061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5-4D0B-823A-7109E7418154}"/>
            </c:ext>
          </c:extLst>
        </c:ser>
        <c:ser>
          <c:idx val="1"/>
          <c:order val="1"/>
          <c:tx>
            <c:strRef>
              <c:f>whst_Results!$G$20</c:f>
              <c:strCache>
                <c:ptCount val="1"/>
                <c:pt idx="0">
                  <c:v>cytomove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whst_Results!$G$21:$G$31</c:f>
              <c:numCache>
                <c:formatCode>General</c:formatCode>
                <c:ptCount val="11"/>
                <c:pt idx="0">
                  <c:v>655.41</c:v>
                </c:pt>
                <c:pt idx="1">
                  <c:v>546.12</c:v>
                </c:pt>
                <c:pt idx="2">
                  <c:v>413.98</c:v>
                </c:pt>
                <c:pt idx="3">
                  <c:v>280.8</c:v>
                </c:pt>
                <c:pt idx="4">
                  <c:v>206.97</c:v>
                </c:pt>
                <c:pt idx="5">
                  <c:v>162.66</c:v>
                </c:pt>
                <c:pt idx="6">
                  <c:v>115.82</c:v>
                </c:pt>
                <c:pt idx="7">
                  <c:v>96.02</c:v>
                </c:pt>
                <c:pt idx="8">
                  <c:v>68.23</c:v>
                </c:pt>
                <c:pt idx="9">
                  <c:v>48.43</c:v>
                </c:pt>
                <c:pt idx="10">
                  <c:v>25.46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5-4D0B-823A-7109E7418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623360"/>
        <c:axId val="1102623840"/>
      </c:lineChart>
      <c:catAx>
        <c:axId val="11026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02623840"/>
        <c:crosses val="autoZero"/>
        <c:auto val="1"/>
        <c:lblAlgn val="ctr"/>
        <c:lblOffset val="100"/>
        <c:noMultiLvlLbl val="0"/>
      </c:catAx>
      <c:valAx>
        <c:axId val="11026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0262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31</xdr:row>
      <xdr:rowOff>180975</xdr:rowOff>
    </xdr:from>
    <xdr:to>
      <xdr:col>4</xdr:col>
      <xdr:colOff>400050</xdr:colOff>
      <xdr:row>46</xdr:row>
      <xdr:rowOff>66675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2EE1464-39CC-5944-BF12-2FAD4745C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200025</xdr:colOff>
      <xdr:row>32</xdr:row>
      <xdr:rowOff>85725</xdr:rowOff>
    </xdr:from>
    <xdr:to>
      <xdr:col>11</xdr:col>
      <xdr:colOff>133350</xdr:colOff>
      <xdr:row>46</xdr:row>
      <xdr:rowOff>161925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F30A3809-3BD3-5025-B396-A90654177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5923-3C0E-42C7-B6AD-BF60F979745F}">
  <dimension ref="A1:N31"/>
  <sheetViews>
    <sheetView tabSelected="1" workbookViewId="0">
      <selection activeCell="L2" sqref="L2"/>
    </sheetView>
  </sheetViews>
  <sheetFormatPr defaultRowHeight="15" x14ac:dyDescent="0.25"/>
  <cols>
    <col min="2" max="2" width="32.7109375" bestFit="1" customWidth="1"/>
    <col min="3" max="3" width="12.85546875" bestFit="1" customWidth="1"/>
    <col min="4" max="4" width="9.7109375" bestFit="1" customWidth="1"/>
    <col min="5" max="5" width="12.140625" bestFit="1" customWidth="1"/>
    <col min="6" max="6" width="23.85546875" bestFit="1" customWidth="1"/>
    <col min="12" max="12" width="15.28515625" bestFit="1" customWidth="1"/>
    <col min="13" max="13" width="28.28515625" bestFit="1" customWidth="1"/>
    <col min="14" max="14" width="22.85546875" bestFit="1" customWidth="1"/>
    <col min="15" max="15" width="32.7109375" bestFit="1" customWidth="1"/>
    <col min="16" max="17" width="7" bestFit="1" customWidth="1"/>
    <col min="18" max="18" width="8" bestFit="1" customWidth="1"/>
    <col min="19" max="19" width="7" bestFit="1" customWidth="1"/>
  </cols>
  <sheetData>
    <row r="1" spans="1:14" x14ac:dyDescent="0.25">
      <c r="A1" s="1" t="s">
        <v>24</v>
      </c>
      <c r="B1" s="1"/>
      <c r="C1" s="1"/>
      <c r="D1" s="1"/>
      <c r="E1" s="1"/>
      <c r="F1" s="1"/>
      <c r="L1" s="1" t="s">
        <v>25</v>
      </c>
      <c r="M1" s="1"/>
      <c r="N1" s="1"/>
    </row>
    <row r="2" spans="1:14" x14ac:dyDescent="0.25">
      <c r="A2" t="s">
        <v>16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L2" t="s">
        <v>17</v>
      </c>
      <c r="M2" t="s">
        <v>18</v>
      </c>
      <c r="N2" t="s">
        <v>19</v>
      </c>
    </row>
    <row r="3" spans="1:14" x14ac:dyDescent="0.25">
      <c r="A3">
        <v>1</v>
      </c>
      <c r="B3" t="s">
        <v>5</v>
      </c>
      <c r="C3">
        <v>959599</v>
      </c>
      <c r="D3">
        <v>34.707999999999998</v>
      </c>
      <c r="E3">
        <v>671.70799999999997</v>
      </c>
      <c r="F3">
        <v>41.435000000000002</v>
      </c>
      <c r="L3">
        <v>936869</v>
      </c>
      <c r="M3">
        <v>33.885599999999997</v>
      </c>
      <c r="N3">
        <v>655.41</v>
      </c>
    </row>
    <row r="4" spans="1:14" x14ac:dyDescent="0.25">
      <c r="A4">
        <v>2</v>
      </c>
      <c r="B4" t="s">
        <v>6</v>
      </c>
      <c r="C4">
        <v>824518</v>
      </c>
      <c r="D4">
        <v>29.821999999999999</v>
      </c>
      <c r="E4">
        <v>572.87400000000002</v>
      </c>
      <c r="F4">
        <v>53.76</v>
      </c>
      <c r="L4">
        <v>764448</v>
      </c>
      <c r="M4">
        <v>27.6493</v>
      </c>
      <c r="N4">
        <v>546.12</v>
      </c>
    </row>
    <row r="5" spans="1:14" x14ac:dyDescent="0.25">
      <c r="A5">
        <v>3</v>
      </c>
      <c r="B5" t="s">
        <v>7</v>
      </c>
      <c r="C5">
        <v>625120</v>
      </c>
      <c r="D5">
        <v>22.61</v>
      </c>
      <c r="E5">
        <v>438.899</v>
      </c>
      <c r="F5">
        <v>85.863</v>
      </c>
      <c r="L5">
        <v>566338</v>
      </c>
      <c r="M5">
        <v>20.483899999999998</v>
      </c>
      <c r="N5">
        <v>413.98</v>
      </c>
    </row>
    <row r="6" spans="1:14" x14ac:dyDescent="0.25">
      <c r="A6">
        <v>4</v>
      </c>
      <c r="B6" t="s">
        <v>8</v>
      </c>
      <c r="C6">
        <v>428949</v>
      </c>
      <c r="D6">
        <v>15.515000000000001</v>
      </c>
      <c r="E6">
        <v>303.59800000000001</v>
      </c>
      <c r="F6">
        <v>79.308999999999997</v>
      </c>
      <c r="L6">
        <v>389997</v>
      </c>
      <c r="M6">
        <v>14.1058</v>
      </c>
      <c r="N6">
        <v>280.8</v>
      </c>
    </row>
    <row r="7" spans="1:14" x14ac:dyDescent="0.25">
      <c r="A7">
        <v>5</v>
      </c>
      <c r="B7" t="s">
        <v>9</v>
      </c>
      <c r="C7">
        <v>304258</v>
      </c>
      <c r="D7">
        <v>11.005000000000001</v>
      </c>
      <c r="E7">
        <v>222.285</v>
      </c>
      <c r="F7">
        <v>70.599999999999994</v>
      </c>
      <c r="L7">
        <v>278493</v>
      </c>
      <c r="M7">
        <v>10.072800000000001</v>
      </c>
      <c r="N7">
        <v>206.97</v>
      </c>
    </row>
    <row r="8" spans="1:14" x14ac:dyDescent="0.25">
      <c r="A8">
        <v>6</v>
      </c>
      <c r="B8" t="s">
        <v>10</v>
      </c>
      <c r="C8">
        <v>211788</v>
      </c>
      <c r="D8">
        <v>7.6609999999999996</v>
      </c>
      <c r="E8">
        <v>159.34800000000001</v>
      </c>
      <c r="F8">
        <v>89.369</v>
      </c>
      <c r="L8">
        <v>204055</v>
      </c>
      <c r="M8">
        <v>7.3804999999999996</v>
      </c>
      <c r="N8">
        <v>162.66</v>
      </c>
    </row>
    <row r="9" spans="1:14" x14ac:dyDescent="0.25">
      <c r="A9">
        <v>7</v>
      </c>
      <c r="B9" t="s">
        <v>11</v>
      </c>
      <c r="C9">
        <v>122812</v>
      </c>
      <c r="D9">
        <v>4.4429999999999996</v>
      </c>
      <c r="E9">
        <v>137.93700000000001</v>
      </c>
      <c r="F9">
        <v>50.347000000000001</v>
      </c>
      <c r="L9">
        <v>128011</v>
      </c>
      <c r="M9">
        <v>4.63</v>
      </c>
      <c r="N9">
        <v>115.82</v>
      </c>
    </row>
    <row r="10" spans="1:14" x14ac:dyDescent="0.25">
      <c r="A10">
        <v>8</v>
      </c>
      <c r="B10" t="s">
        <v>12</v>
      </c>
      <c r="C10">
        <v>62572</v>
      </c>
      <c r="D10">
        <v>2.2629999999999995</v>
      </c>
      <c r="E10">
        <v>108.139</v>
      </c>
      <c r="F10">
        <v>47.436999999999998</v>
      </c>
      <c r="L10">
        <v>65453</v>
      </c>
      <c r="M10">
        <v>2.3673999999999999</v>
      </c>
      <c r="N10">
        <v>96.02</v>
      </c>
    </row>
    <row r="11" spans="1:14" x14ac:dyDescent="0.25">
      <c r="A11">
        <v>9</v>
      </c>
      <c r="B11" t="s">
        <v>13</v>
      </c>
      <c r="C11">
        <v>19667</v>
      </c>
      <c r="D11">
        <v>0.71100000000000008</v>
      </c>
      <c r="E11">
        <v>26.263999999999999</v>
      </c>
      <c r="F11">
        <v>9.3040000000000003</v>
      </c>
      <c r="L11">
        <v>21635</v>
      </c>
      <c r="M11">
        <v>0.78249999999999997</v>
      </c>
      <c r="N11">
        <v>68.23</v>
      </c>
    </row>
    <row r="12" spans="1:14" x14ac:dyDescent="0.25">
      <c r="A12">
        <v>10</v>
      </c>
      <c r="B12" t="s">
        <v>14</v>
      </c>
      <c r="C12">
        <v>10700</v>
      </c>
      <c r="D12">
        <v>0.38700000000000001</v>
      </c>
      <c r="E12">
        <v>40.576000000000001</v>
      </c>
      <c r="F12">
        <v>12.798999999999999</v>
      </c>
      <c r="L12">
        <v>11618</v>
      </c>
      <c r="M12">
        <v>0.42020000000000002</v>
      </c>
      <c r="N12">
        <v>48.43</v>
      </c>
    </row>
    <row r="13" spans="1:14" x14ac:dyDescent="0.25">
      <c r="A13">
        <v>11</v>
      </c>
      <c r="B13" t="s">
        <v>15</v>
      </c>
      <c r="C13">
        <v>1399</v>
      </c>
      <c r="D13">
        <v>5.1000000000000004E-2</v>
      </c>
      <c r="E13">
        <v>15.061</v>
      </c>
      <c r="F13">
        <v>7.1509999999999998</v>
      </c>
      <c r="L13">
        <v>1531</v>
      </c>
      <c r="M13">
        <v>5.5399999999999998E-2</v>
      </c>
      <c r="N13">
        <v>25.46</v>
      </c>
    </row>
    <row r="18" spans="3:14" ht="15.75" thickBot="1" x14ac:dyDescent="0.3">
      <c r="M18" s="5" t="s">
        <v>22</v>
      </c>
      <c r="N18" s="5"/>
    </row>
    <row r="19" spans="3:14" x14ac:dyDescent="0.25">
      <c r="C19" s="1" t="s">
        <v>22</v>
      </c>
      <c r="D19" s="1"/>
      <c r="F19" s="1" t="s">
        <v>23</v>
      </c>
      <c r="G19" s="1"/>
      <c r="L19" s="4"/>
      <c r="M19" s="4" t="s">
        <v>20</v>
      </c>
      <c r="N19" s="4" t="s">
        <v>21</v>
      </c>
    </row>
    <row r="20" spans="3:14" x14ac:dyDescent="0.25">
      <c r="C20" t="s">
        <v>20</v>
      </c>
      <c r="D20" t="s">
        <v>21</v>
      </c>
      <c r="F20" t="s">
        <v>20</v>
      </c>
      <c r="G20" t="s">
        <v>21</v>
      </c>
      <c r="L20" s="2" t="s">
        <v>20</v>
      </c>
      <c r="M20" s="2">
        <v>1</v>
      </c>
      <c r="N20" s="2"/>
    </row>
    <row r="21" spans="3:14" ht="15.75" thickBot="1" x14ac:dyDescent="0.3">
      <c r="C21">
        <f>C3</f>
        <v>959599</v>
      </c>
      <c r="D21">
        <f>L3</f>
        <v>936869</v>
      </c>
      <c r="F21">
        <f>E3</f>
        <v>671.70799999999997</v>
      </c>
      <c r="G21">
        <f>N3</f>
        <v>655.41</v>
      </c>
      <c r="L21" s="3" t="s">
        <v>21</v>
      </c>
      <c r="M21" s="3">
        <v>0.99893100993586548</v>
      </c>
      <c r="N21" s="3">
        <v>1</v>
      </c>
    </row>
    <row r="22" spans="3:14" x14ac:dyDescent="0.25">
      <c r="C22">
        <f t="shared" ref="C22:C35" si="0">C4</f>
        <v>824518</v>
      </c>
      <c r="D22">
        <f t="shared" ref="D22:D31" si="1">L4</f>
        <v>764448</v>
      </c>
      <c r="F22">
        <f t="shared" ref="F22:F31" si="2">E4</f>
        <v>572.87400000000002</v>
      </c>
      <c r="G22">
        <f t="shared" ref="G22:G31" si="3">N4</f>
        <v>546.12</v>
      </c>
    </row>
    <row r="23" spans="3:14" x14ac:dyDescent="0.25">
      <c r="C23">
        <f t="shared" si="0"/>
        <v>625120</v>
      </c>
      <c r="D23">
        <f t="shared" si="1"/>
        <v>566338</v>
      </c>
      <c r="F23">
        <f t="shared" si="2"/>
        <v>438.899</v>
      </c>
      <c r="G23">
        <f t="shared" si="3"/>
        <v>413.98</v>
      </c>
    </row>
    <row r="24" spans="3:14" ht="15.75" thickBot="1" x14ac:dyDescent="0.3">
      <c r="C24">
        <f t="shared" si="0"/>
        <v>428949</v>
      </c>
      <c r="D24">
        <f t="shared" si="1"/>
        <v>389997</v>
      </c>
      <c r="F24">
        <f t="shared" si="2"/>
        <v>303.59800000000001</v>
      </c>
      <c r="G24">
        <f t="shared" si="3"/>
        <v>280.8</v>
      </c>
    </row>
    <row r="25" spans="3:14" x14ac:dyDescent="0.25">
      <c r="C25">
        <f t="shared" si="0"/>
        <v>304258</v>
      </c>
      <c r="D25">
        <f t="shared" si="1"/>
        <v>278493</v>
      </c>
      <c r="F25">
        <f t="shared" si="2"/>
        <v>222.285</v>
      </c>
      <c r="G25">
        <f t="shared" si="3"/>
        <v>206.97</v>
      </c>
      <c r="L25" s="4"/>
      <c r="M25" s="4" t="s">
        <v>20</v>
      </c>
      <c r="N25" s="4" t="s">
        <v>21</v>
      </c>
    </row>
    <row r="26" spans="3:14" x14ac:dyDescent="0.25">
      <c r="C26">
        <f t="shared" si="0"/>
        <v>211788</v>
      </c>
      <c r="D26">
        <f t="shared" si="1"/>
        <v>204055</v>
      </c>
      <c r="F26">
        <f t="shared" si="2"/>
        <v>159.34800000000001</v>
      </c>
      <c r="G26">
        <f t="shared" si="3"/>
        <v>162.66</v>
      </c>
      <c r="L26" s="2" t="s">
        <v>20</v>
      </c>
      <c r="M26" s="2">
        <v>1</v>
      </c>
      <c r="N26" s="2"/>
    </row>
    <row r="27" spans="3:14" ht="15.75" thickBot="1" x14ac:dyDescent="0.3">
      <c r="C27">
        <f t="shared" si="0"/>
        <v>122812</v>
      </c>
      <c r="D27">
        <f t="shared" si="1"/>
        <v>128011</v>
      </c>
      <c r="F27">
        <f t="shared" si="2"/>
        <v>137.93700000000001</v>
      </c>
      <c r="G27">
        <f t="shared" si="3"/>
        <v>115.82</v>
      </c>
      <c r="L27" s="3" t="s">
        <v>21</v>
      </c>
      <c r="M27" s="3">
        <v>0.9972157957627964</v>
      </c>
      <c r="N27" s="3">
        <v>1</v>
      </c>
    </row>
    <row r="28" spans="3:14" x14ac:dyDescent="0.25">
      <c r="C28">
        <f t="shared" si="0"/>
        <v>62572</v>
      </c>
      <c r="D28">
        <f t="shared" si="1"/>
        <v>65453</v>
      </c>
      <c r="F28">
        <f t="shared" si="2"/>
        <v>108.139</v>
      </c>
      <c r="G28">
        <f t="shared" si="3"/>
        <v>96.02</v>
      </c>
    </row>
    <row r="29" spans="3:14" x14ac:dyDescent="0.25">
      <c r="C29">
        <f t="shared" si="0"/>
        <v>19667</v>
      </c>
      <c r="D29">
        <f t="shared" si="1"/>
        <v>21635</v>
      </c>
      <c r="F29">
        <f t="shared" si="2"/>
        <v>26.263999999999999</v>
      </c>
      <c r="G29">
        <f t="shared" si="3"/>
        <v>68.23</v>
      </c>
    </row>
    <row r="30" spans="3:14" x14ac:dyDescent="0.25">
      <c r="C30">
        <f t="shared" si="0"/>
        <v>10700</v>
      </c>
      <c r="D30">
        <f t="shared" si="1"/>
        <v>11618</v>
      </c>
      <c r="F30">
        <f t="shared" si="2"/>
        <v>40.576000000000001</v>
      </c>
      <c r="G30">
        <f t="shared" si="3"/>
        <v>48.43</v>
      </c>
    </row>
    <row r="31" spans="3:14" x14ac:dyDescent="0.25">
      <c r="C31">
        <f t="shared" si="0"/>
        <v>1399</v>
      </c>
      <c r="D31">
        <f t="shared" si="1"/>
        <v>1531</v>
      </c>
      <c r="F31">
        <f t="shared" si="2"/>
        <v>15.061</v>
      </c>
      <c r="G31">
        <f t="shared" si="3"/>
        <v>25.46</v>
      </c>
    </row>
  </sheetData>
  <mergeCells count="5">
    <mergeCell ref="C19:D19"/>
    <mergeCell ref="F19:G19"/>
    <mergeCell ref="M18:N18"/>
    <mergeCell ref="A1:F1"/>
    <mergeCell ref="L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whst_Results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Zekeriya DÜZGÜN</cp:lastModifiedBy>
  <dcterms:created xsi:type="dcterms:W3CDTF">2026-05-05T11:18:40Z</dcterms:created>
  <dcterms:modified xsi:type="dcterms:W3CDTF">2026-05-07T11:48:56Z</dcterms:modified>
</cp:coreProperties>
</file>